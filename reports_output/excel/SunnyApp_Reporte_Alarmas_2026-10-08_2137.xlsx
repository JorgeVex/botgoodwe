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alarmas" sheetId="1" state="visible" r:id="rId1"/>
    <sheet name="Resumen ejecutivo" sheetId="2" state="visible" r:id="rId2"/>
  </sheets>
  <definedNames>
    <definedName name="_xlnm.Print_Titles" localSheetId="0">'Reporte de alarmas'!$10:$10</definedName>
    <definedName name="_xlnm.Print_Area" localSheetId="0">'Reporte de alarmas'!$A$1:$J$17</definedName>
    <definedName name="_xlnm.Print_Area" localSheetId="1">'Resumen ejecutivo'!$A$1:$H$38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6">
    <font>
      <name val="Calibri"/>
      <family val="2"/>
      <color theme="1"/>
      <sz val="11"/>
      <scheme val="minor"/>
    </font>
    <font>
      <name val="Calibri"/>
      <b val="1"/>
      <color rgb="00FF7417"/>
      <sz val="20"/>
    </font>
    <font>
      <name val="Calibri"/>
      <b val="1"/>
      <color rgb="0017365D"/>
      <sz val="13"/>
    </font>
    <font>
      <name val="Calibri"/>
      <color rgb="00404040"/>
      <sz val="10"/>
    </font>
    <font>
      <name val="Calibri"/>
      <i val="1"/>
      <color rgb="00595959"/>
      <sz val="10"/>
    </font>
    <font>
      <name val="Calibri"/>
      <b val="1"/>
      <color rgb="0017365D"/>
      <sz val="9"/>
    </font>
    <font>
      <name val="Calibri"/>
      <b val="1"/>
      <color rgb="0017365D"/>
      <sz val="22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b val="1"/>
      <color rgb="00C00000"/>
      <sz val="9"/>
    </font>
    <font>
      <name val="Calibri"/>
      <b val="1"/>
      <color rgb="00C00000"/>
      <sz val="22"/>
    </font>
    <font>
      <name val="Calibri"/>
      <b val="1"/>
      <color rgb="002E7D32"/>
      <sz val="9"/>
    </font>
    <font>
      <name val="Calibri"/>
      <b val="1"/>
      <color rgb="002E7D32"/>
      <sz val="22"/>
    </font>
    <font>
      <name val="Calibri"/>
      <b val="1"/>
      <color rgb="007F6000"/>
      <sz val="9"/>
    </font>
    <font>
      <name val="Calibri"/>
      <b val="1"/>
      <color rgb="007F6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7417"/>
      <sz val="10"/>
    </font>
    <font>
      <name val="Calibri"/>
      <b val="1"/>
      <color rgb="007F6000"/>
      <sz val="10"/>
    </font>
    <font>
      <name val="Calibri"/>
      <b val="1"/>
      <color rgb="0017365D"/>
      <sz val="10"/>
    </font>
    <font>
      <name val="Calibri"/>
      <b val="1"/>
      <color rgb="00FF7417"/>
      <sz val="18"/>
    </font>
    <font>
      <name val="Calibri"/>
      <color rgb="00595959"/>
      <sz val="10"/>
    </font>
    <font>
      <name val="Calibri"/>
      <b val="1"/>
      <color rgb="0017365D"/>
      <sz val="11"/>
    </font>
    <font>
      <name val="Calibri"/>
      <b val="1"/>
      <color rgb="00FFFFFF"/>
      <sz val="10"/>
    </font>
    <font>
      <name val="Calibri"/>
      <b val="1"/>
      <color rgb="0017365D"/>
      <sz val="12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548DD4"/>
      </patternFill>
    </fill>
    <fill>
      <patternFill patternType="solid">
        <fgColor rgb="00FADBD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top style="medium">
        <color rgb="00FF7417"/>
      </top>
    </border>
    <border>
      <left style="thin">
        <color rgb="00FFFFFF"/>
      </left>
      <right style="thin">
        <color rgb="00FFFFFF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165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left" vertical="center" wrapText="1"/>
    </xf>
    <xf numFmtId="49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5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left" vertical="center" wrapText="1"/>
    </xf>
    <xf numFmtId="49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18" fillId="4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5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left" vertical="center" wrapText="1"/>
    </xf>
    <xf numFmtId="49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indent="1"/>
    </xf>
    <xf numFmtId="0" fontId="22" fillId="0" borderId="0" applyAlignment="1" pivotButton="0" quotePrefix="0" xfId="0">
      <alignment indent="1"/>
    </xf>
    <xf numFmtId="0" fontId="23" fillId="0" borderId="0" pivotButton="0" quotePrefix="0" xfId="0"/>
    <xf numFmtId="0" fontId="24" fillId="8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vertical="center" wrapText="1"/>
    </xf>
    <xf numFmtId="0" fontId="16" fillId="7" borderId="3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 wrapText="1"/>
    </xf>
    <xf numFmtId="0" fontId="16" fillId="2" borderId="3" applyAlignment="1" pivotButton="0" quotePrefix="0" xfId="0">
      <alignment horizontal="center" vertical="center"/>
    </xf>
    <xf numFmtId="0" fontId="25" fillId="0" borderId="0" pivotButton="0" quotePrefix="0" xfId="0"/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activas por planta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ejecutivo'!B5</f>
            </strRef>
          </tx>
          <spPr>
            <a:solidFill>
              <a:srgbClr val="548DD4"/>
            </a:solidFill>
            <a:ln>
              <a:prstDash val="solid"/>
            </a:ln>
          </spPr>
          <cat>
            <numRef>
              <f>'Resumen ejecutivo'!$A$6:$A$12</f>
            </numRef>
          </cat>
          <val>
            <numRef>
              <f>'Resumen ejecutivo'!$B$6:$B$12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ejecutivo'!E5</f>
            </strRef>
          </tx>
          <spPr>
            <a:solidFill>
              <a:srgbClr val="FF7417"/>
            </a:solidFill>
            <a:ln>
              <a:prstDash val="solid"/>
            </a:ln>
          </spPr>
          <cat>
            <numRef>
              <f>'Resumen ejecutivo'!$D$6:$D$7</f>
            </numRef>
          </cat>
          <val>
            <numRef>
              <f>'Resumen ejecutivo'!$E$6:$E$7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1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41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larmas" displayName="TablaAlarmas" ref="A10:J17" headerRowCount="1">
  <autoFilter ref="A10:J17"/>
  <tableColumns count="10">
    <tableColumn id="1" name="Hora de alarma"/>
    <tableColumn id="2" name="Nombre de la planta"/>
    <tableColumn id="3" name="SN"/>
    <tableColumn id="4" name="Equipo"/>
    <tableColumn id="5" name="Tipo de alarma"/>
    <tableColumn id="6" name="Nombre de la alarma"/>
    <tableColumn id="7" name="Estado"/>
    <tableColumn id="8" name="Situación"/>
    <tableColumn id="9" name="Duración"/>
    <tableColumn id="10" name="Sugerenci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2" customWidth="1" min="3" max="3"/>
    <col width="20" customWidth="1" min="4" max="4"/>
    <col width="28" customWidth="1" min="5" max="5"/>
    <col width="32" customWidth="1" min="6" max="6"/>
    <col width="14" customWidth="1" min="7" max="7"/>
    <col width="15" customWidth="1" min="8" max="8"/>
    <col width="20" customWidth="1" min="9" max="9"/>
    <col width="46" customWidth="1" min="10" max="10"/>
  </cols>
  <sheetData>
    <row r="1" ht="34" customHeight="1">
      <c r="B1" s="1" t="inlineStr">
        <is>
          <t>SUNNY APP  |  REPORTE DIARIO DE ALARMAS</t>
        </is>
      </c>
    </row>
    <row r="2" ht="22" customHeight="1">
      <c r="B2" s="2" t="inlineStr">
        <is>
          <t>Plataforma GoodWe</t>
        </is>
      </c>
    </row>
    <row r="3" ht="18" customHeight="1">
      <c r="B3" s="3" t="inlineStr">
        <is>
          <t>Fecha del reporte: 08/10/2026   |   Generado: 21:37:58   |   Zona horaria: America/Bogota (UTC-05:00)</t>
        </is>
      </c>
    </row>
    <row r="4" ht="18" customHeight="1">
      <c r="B4" s="4" t="inlineStr">
        <is>
          <t>Período de consulta: alarmas activas al momento de la lectura en la plataforma</t>
        </is>
      </c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8" customHeight="1"/>
    <row r="7" ht="20" customHeight="1">
      <c r="A7" s="6" t="inlineStr">
        <is>
          <t>Total de registros</t>
        </is>
      </c>
      <c r="B7" s="7" t="inlineStr">
        <is>
          <t>Alarmas activas</t>
        </is>
      </c>
      <c r="C7" s="8" t="inlineStr">
        <is>
          <t>Críticas activas</t>
        </is>
      </c>
      <c r="D7" s="9" t="n"/>
      <c r="E7" s="10" t="inlineStr">
        <is>
          <t>Resueltas</t>
        </is>
      </c>
      <c r="F7" s="6" t="inlineStr">
        <is>
          <t>Plantas afectadas</t>
        </is>
      </c>
      <c r="G7" s="11" t="n"/>
      <c r="H7" s="12" t="inlineStr">
        <is>
          <t>Mayor duración activa</t>
        </is>
      </c>
      <c r="I7" s="13" t="n"/>
      <c r="J7" s="13" t="n"/>
    </row>
    <row r="8" ht="40" customHeight="1">
      <c r="A8" s="14" t="n">
        <v>7</v>
      </c>
      <c r="B8" s="15" t="n">
        <v>7</v>
      </c>
      <c r="C8" s="16" t="n">
        <v>1</v>
      </c>
      <c r="D8" s="9" t="n"/>
      <c r="E8" s="17" t="n">
        <v>0</v>
      </c>
      <c r="F8" s="14" t="n">
        <v>7</v>
      </c>
      <c r="G8" s="11" t="n"/>
      <c r="H8" s="18" t="inlineStr">
        <is>
          <t>63 d 07 h 53 min  ·  Pérdida de PE</t>
        </is>
      </c>
      <c r="I8" s="13" t="n"/>
      <c r="J8" s="13" t="n"/>
    </row>
    <row r="9" ht="12" customHeight="1"/>
    <row r="10" ht="30" customHeight="1">
      <c r="A10" s="19" t="inlineStr">
        <is>
          <t>Hora de alarma</t>
        </is>
      </c>
      <c r="B10" s="19" t="inlineStr">
        <is>
          <t>Nombre de la planta</t>
        </is>
      </c>
      <c r="C10" s="19" t="inlineStr">
        <is>
          <t>SN</t>
        </is>
      </c>
      <c r="D10" s="19" t="inlineStr">
        <is>
          <t>Equipo</t>
        </is>
      </c>
      <c r="E10" s="19" t="inlineStr">
        <is>
          <t>Tipo de alarma</t>
        </is>
      </c>
      <c r="F10" s="19" t="inlineStr">
        <is>
          <t>Nombre de la alarma</t>
        </is>
      </c>
      <c r="G10" s="19" t="inlineStr">
        <is>
          <t>Estado</t>
        </is>
      </c>
      <c r="H10" s="19" t="inlineStr">
        <is>
          <t>Situación</t>
        </is>
      </c>
      <c r="I10" s="19" t="inlineStr">
        <is>
          <t>Duración</t>
        </is>
      </c>
      <c r="J10" s="19" t="inlineStr">
        <is>
          <t>Sugerencia</t>
        </is>
      </c>
    </row>
    <row r="11" ht="37" customHeight="1">
      <c r="A11" s="20" t="n">
        <v>46303.24480324074</v>
      </c>
      <c r="B11" s="21" t="inlineStr">
        <is>
          <t>482. ROCIO CUPITRE PIMENTONIS (11,16 kWp - 42 kWh)</t>
        </is>
      </c>
      <c r="C11" s="22" t="inlineStr">
        <is>
          <t>54200DSC251S0107</t>
        </is>
      </c>
      <c r="D11" s="23" t="inlineStr">
        <is>
          <t>Inversor 2</t>
        </is>
      </c>
      <c r="E11" s="23" t="inlineStr">
        <is>
          <t>Información de condición de operación</t>
        </is>
      </c>
      <c r="F11" s="24" t="inlineStr">
        <is>
          <t>Pérdida de TC</t>
        </is>
      </c>
      <c r="G11" s="25" t="inlineStr">
        <is>
          <t>Ocurriendo</t>
        </is>
      </c>
      <c r="H11" s="26" t="inlineStr">
        <is>
          <t>Nueva</t>
        </is>
      </c>
      <c r="I11" s="23" t="inlineStr">
        <is>
          <t>15 h 43 min</t>
        </is>
      </c>
      <c r="J11" s="21" t="inlineStr">
        <is>
          <t>Check CT wiring</t>
        </is>
      </c>
    </row>
    <row r="12" ht="51.5" customHeight="1">
      <c r="A12" s="27" t="n">
        <v>46298.63009259259</v>
      </c>
      <c r="B12" s="28" t="inlineStr">
        <is>
          <t>625. Coorporación universiteria del huila, corhuil</t>
        </is>
      </c>
      <c r="C12" s="29" t="inlineStr">
        <is>
          <t>5017KDTR257L0023</t>
        </is>
      </c>
      <c r="D12" s="30" t="inlineStr">
        <is>
          <t>Inversor 1</t>
        </is>
      </c>
      <c r="E12" s="30" t="inlineStr">
        <is>
          <t>Eventos de protección</t>
        </is>
      </c>
      <c r="F12" s="31" t="inlineStr">
        <is>
          <t>Corte de energía de la red</t>
        </is>
      </c>
      <c r="G12" s="31" t="inlineStr">
        <is>
          <t>Ocurriendo</t>
        </is>
      </c>
      <c r="H12" s="32" t="inlineStr">
        <is>
          <t>Nueva</t>
        </is>
      </c>
      <c r="I12" s="30" t="inlineStr">
        <is>
          <t>5 d 06 h 28 min</t>
        </is>
      </c>
      <c r="J12" s="28" t="inlineStr">
        <is>
          <t>1. The alarm goes away when the grid comes back up.
2. Check if the AC wiring or the switch is disconnected.</t>
        </is>
      </c>
    </row>
    <row r="13" ht="37" customHeight="1">
      <c r="A13" s="20" t="n">
        <v>46290.25817129629</v>
      </c>
      <c r="B13" s="21" t="inlineStr">
        <is>
          <t>527. FRANCISCO GARCÍA (13,86 kWp - 51 kWh)</t>
        </is>
      </c>
      <c r="C13" s="22" t="inlineStr">
        <is>
          <t>5010KNBN25AL0074</t>
        </is>
      </c>
      <c r="D13" s="23" t="inlineStr">
        <is>
          <t>Inversor 1</t>
        </is>
      </c>
      <c r="E13" s="23" t="inlineStr">
        <is>
          <t>Información de condición de operación</t>
        </is>
      </c>
      <c r="F13" s="24" t="inlineStr">
        <is>
          <t>Pérdida de PE</t>
        </is>
      </c>
      <c r="G13" s="25" t="inlineStr">
        <is>
          <t>Ocurriendo</t>
        </is>
      </c>
      <c r="H13" s="26" t="inlineStr">
        <is>
          <t>Nueva</t>
        </is>
      </c>
      <c r="I13" s="33" t="inlineStr">
        <is>
          <t>13 d 15 h 24 min</t>
        </is>
      </c>
      <c r="J13" s="21" t="inlineStr">
        <is>
          <t>Check Ground Wire</t>
        </is>
      </c>
    </row>
    <row r="14" ht="37" customHeight="1">
      <c r="A14" s="34" t="n">
        <v>46290.07267361111</v>
      </c>
      <c r="B14" s="35" t="inlineStr">
        <is>
          <t>507. ABDERRAMAN MARTÍNEZ (16,94 kWp - 62 kWh)</t>
        </is>
      </c>
      <c r="C14" s="36" t="inlineStr">
        <is>
          <t>56000NBB25AL0077</t>
        </is>
      </c>
      <c r="D14" s="37" t="inlineStr">
        <is>
          <t>Inversor 2</t>
        </is>
      </c>
      <c r="E14" s="37" t="inlineStr">
        <is>
          <t>Información de condición de operación</t>
        </is>
      </c>
      <c r="F14" s="24" t="inlineStr">
        <is>
          <t>Pérdida de PE</t>
        </is>
      </c>
      <c r="G14" s="38" t="inlineStr">
        <is>
          <t>Ocurriendo</t>
        </is>
      </c>
      <c r="H14" s="39" t="inlineStr">
        <is>
          <t>Nueva</t>
        </is>
      </c>
      <c r="I14" s="33" t="inlineStr">
        <is>
          <t>13 d 19 h 51 min</t>
        </is>
      </c>
      <c r="J14" s="35" t="inlineStr">
        <is>
          <t>Check Ground Wire</t>
        </is>
      </c>
    </row>
    <row r="15" ht="37" customHeight="1">
      <c r="A15" s="20" t="n">
        <v>46257.58930555556</v>
      </c>
      <c r="B15" s="21" t="inlineStr">
        <is>
          <t>601 Ramiro Núñez</t>
        </is>
      </c>
      <c r="C15" s="22" t="inlineStr">
        <is>
          <t>56000NBB262L0047</t>
        </is>
      </c>
      <c r="D15" s="23" t="inlineStr">
        <is>
          <t>Inversor 2</t>
        </is>
      </c>
      <c r="E15" s="23" t="inlineStr">
        <is>
          <t>Información de condición de operación</t>
        </is>
      </c>
      <c r="F15" s="24" t="inlineStr">
        <is>
          <t>Pérdida de PE</t>
        </is>
      </c>
      <c r="G15" s="25" t="inlineStr">
        <is>
          <t>Ocurriendo</t>
        </is>
      </c>
      <c r="H15" s="40" t="inlineStr">
        <is>
          <t>Persistente</t>
        </is>
      </c>
      <c r="I15" s="33" t="inlineStr">
        <is>
          <t>46 d 07 h 27 min</t>
        </is>
      </c>
      <c r="J15" s="21" t="inlineStr">
        <is>
          <t>Check Ground Wire</t>
        </is>
      </c>
    </row>
    <row r="16" ht="37" customHeight="1">
      <c r="A16" s="34" t="n">
        <v>46240.61350694444</v>
      </c>
      <c r="B16" s="35" t="inlineStr">
        <is>
          <t>600. GRANJA PRODUCTORA (7,56 kWp - 30 kWh)</t>
        </is>
      </c>
      <c r="C16" s="36" t="inlineStr">
        <is>
          <t>56000NBB262L0005</t>
        </is>
      </c>
      <c r="D16" s="37" t="inlineStr">
        <is>
          <t>Inversor 1</t>
        </is>
      </c>
      <c r="E16" s="37" t="inlineStr">
        <is>
          <t>Información de condición de operación</t>
        </is>
      </c>
      <c r="F16" s="24" t="inlineStr">
        <is>
          <t>Pérdida de TC</t>
        </is>
      </c>
      <c r="G16" s="38" t="inlineStr">
        <is>
          <t>Ocurriendo</t>
        </is>
      </c>
      <c r="H16" s="41" t="inlineStr">
        <is>
          <t>Persistente</t>
        </is>
      </c>
      <c r="I16" s="33" t="inlineStr">
        <is>
          <t>63 d 06 h 52 min</t>
        </is>
      </c>
      <c r="J16" s="35" t="inlineStr">
        <is>
          <t>Check CT wiring</t>
        </is>
      </c>
    </row>
    <row r="17" ht="37" customHeight="1">
      <c r="A17" s="20" t="n">
        <v>46240.57126157408</v>
      </c>
      <c r="B17" s="21" t="inlineStr">
        <is>
          <t>600 Granja Productora</t>
        </is>
      </c>
      <c r="C17" s="22" t="inlineStr">
        <is>
          <t>56000NBB262L0005</t>
        </is>
      </c>
      <c r="D17" s="23" t="inlineStr">
        <is>
          <t>Inversor 1</t>
        </is>
      </c>
      <c r="E17" s="23" t="inlineStr">
        <is>
          <t>Información de condición de operación</t>
        </is>
      </c>
      <c r="F17" s="24" t="inlineStr">
        <is>
          <t>Pérdida de PE</t>
        </is>
      </c>
      <c r="G17" s="25" t="inlineStr">
        <is>
          <t>Ocurriendo</t>
        </is>
      </c>
      <c r="H17" s="40" t="inlineStr">
        <is>
          <t>Persistente</t>
        </is>
      </c>
      <c r="I17" s="33" t="inlineStr">
        <is>
          <t>63 d 07 h 53 min</t>
        </is>
      </c>
      <c r="J17" s="21" t="inlineStr">
        <is>
          <t>Check Ground Wire</t>
        </is>
      </c>
    </row>
  </sheetData>
  <mergeCells count="10">
    <mergeCell ref="B3:J3"/>
    <mergeCell ref="C7:D7"/>
    <mergeCell ref="F7:G7"/>
    <mergeCell ref="H8:J8"/>
    <mergeCell ref="B1:J1"/>
    <mergeCell ref="B4:J4"/>
    <mergeCell ref="H7:J7"/>
    <mergeCell ref="C8:D8"/>
    <mergeCell ref="B2:J2"/>
    <mergeCell ref="F8:G8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" customWidth="1" min="3" max="3"/>
    <col width="40" customWidth="1" min="4" max="4"/>
    <col width="14" customWidth="1" min="5" max="5"/>
    <col width="4" customWidth="1" min="6" max="6"/>
    <col width="30" customWidth="1" min="7" max="7"/>
    <col width="14" customWidth="1" min="8" max="8"/>
  </cols>
  <sheetData>
    <row r="1" ht="32" customHeight="1">
      <c r="A1" s="42" t="inlineStr">
        <is>
          <t>SUNNY APP  |  RESUMEN EJECUTIVO DE ALARMAS</t>
        </is>
      </c>
    </row>
    <row r="2">
      <c r="A2" s="43" t="inlineStr">
        <is>
          <t>Plataforma GoodWe  ·  08/10/2026 21:37 (America/Bogota)</t>
        </is>
      </c>
    </row>
    <row r="4">
      <c r="A4" s="44" t="inlineStr">
        <is>
          <t>Alarmas activas por planta (top 10)</t>
        </is>
      </c>
      <c r="D4" s="44" t="inlineStr">
        <is>
          <t>Distribución por tipo de alarma</t>
        </is>
      </c>
      <c r="G4" s="44" t="inlineStr">
        <is>
          <t>Distribución por estado</t>
        </is>
      </c>
    </row>
    <row r="5">
      <c r="A5" s="45" t="inlineStr">
        <is>
          <t>Planta</t>
        </is>
      </c>
      <c r="B5" s="45" t="inlineStr">
        <is>
          <t>Cantidad</t>
        </is>
      </c>
      <c r="D5" s="45" t="inlineStr">
        <is>
          <t>Tipo</t>
        </is>
      </c>
      <c r="E5" s="45" t="inlineStr">
        <is>
          <t>Cantidad</t>
        </is>
      </c>
      <c r="G5" s="45" t="inlineStr">
        <is>
          <t>Estado · situación</t>
        </is>
      </c>
      <c r="H5" s="45" t="inlineStr">
        <is>
          <t>Cantidad</t>
        </is>
      </c>
    </row>
    <row r="6">
      <c r="A6" s="46" t="inlineStr">
        <is>
          <t>482. ROCIO CUPITRE PIMENTONIS (11,16 kWp - 42 kWh)</t>
        </is>
      </c>
      <c r="B6" s="47" t="n">
        <v>1</v>
      </c>
      <c r="D6" s="46" t="inlineStr">
        <is>
          <t>Información de condición de operación</t>
        </is>
      </c>
      <c r="E6" s="47" t="n">
        <v>6</v>
      </c>
      <c r="G6" s="46" t="inlineStr">
        <is>
          <t>Ocurriendo · Nueva</t>
        </is>
      </c>
      <c r="H6" s="47" t="n">
        <v>4</v>
      </c>
    </row>
    <row r="7">
      <c r="A7" s="48" t="inlineStr">
        <is>
          <t>625. Coorporación universiteria del huila, corhuil</t>
        </is>
      </c>
      <c r="B7" s="49" t="n">
        <v>1</v>
      </c>
      <c r="D7" s="48" t="inlineStr">
        <is>
          <t>Eventos de protección</t>
        </is>
      </c>
      <c r="E7" s="49" t="n">
        <v>1</v>
      </c>
      <c r="G7" s="48" t="inlineStr">
        <is>
          <t>Ocurriendo · Persistente</t>
        </is>
      </c>
      <c r="H7" s="49" t="n">
        <v>3</v>
      </c>
    </row>
    <row r="8">
      <c r="A8" s="46" t="inlineStr">
        <is>
          <t>527. FRANCISCO GARCÍA (13,86 kWp - 51 kWh)</t>
        </is>
      </c>
      <c r="B8" s="47" t="n">
        <v>1</v>
      </c>
    </row>
    <row r="9">
      <c r="A9" s="48" t="inlineStr">
        <is>
          <t>507. ABDERRAMAN MARTÍNEZ (16,94 kWp - 62 kWh)</t>
        </is>
      </c>
      <c r="B9" s="49" t="n">
        <v>1</v>
      </c>
    </row>
    <row r="10">
      <c r="A10" s="46" t="inlineStr">
        <is>
          <t>601 Ramiro Núñez</t>
        </is>
      </c>
      <c r="B10" s="47" t="n">
        <v>1</v>
      </c>
    </row>
    <row r="11">
      <c r="A11" s="48" t="inlineStr">
        <is>
          <t>600. GRANJA PRODUCTORA (7,56 kWp - 30 kWh)</t>
        </is>
      </c>
      <c r="B11" s="49" t="n">
        <v>1</v>
      </c>
    </row>
    <row r="12">
      <c r="A12" s="46" t="inlineStr">
        <is>
          <t>600 Granja Productora</t>
        </is>
      </c>
      <c r="B12" s="47" t="n">
        <v>1</v>
      </c>
    </row>
    <row r="31">
      <c r="A31" s="50" t="inlineStr">
        <is>
          <t>Alarmas activas más antiguas (top 5)</t>
        </is>
      </c>
    </row>
    <row r="32">
      <c r="A32" s="45" t="inlineStr">
        <is>
          <t>Planta</t>
        </is>
      </c>
      <c r="B32" s="45" t="inlineStr">
        <is>
          <t>Duración</t>
        </is>
      </c>
      <c r="D32" s="45" t="inlineStr">
        <is>
          <t>Alarma</t>
        </is>
      </c>
      <c r="E32" s="45" t="inlineStr">
        <is>
          <t>Equipo</t>
        </is>
      </c>
      <c r="G32" s="45" t="inlineStr">
        <is>
          <t>SN</t>
        </is>
      </c>
    </row>
    <row r="33" ht="30" customHeight="1">
      <c r="A33" s="51" t="inlineStr">
        <is>
          <t>600 Granja Productora</t>
        </is>
      </c>
      <c r="B33" s="52" t="inlineStr">
        <is>
          <t>63 d 07 h 53 min</t>
        </is>
      </c>
      <c r="D33" s="52" t="inlineStr">
        <is>
          <t>Pérdida de PE</t>
        </is>
      </c>
      <c r="E33" s="52" t="inlineStr">
        <is>
          <t>Inversor 1</t>
        </is>
      </c>
      <c r="G33" s="52" t="inlineStr">
        <is>
          <t>56000NBB262L0005</t>
        </is>
      </c>
    </row>
    <row r="34" ht="30" customHeight="1">
      <c r="A34" s="51" t="inlineStr">
        <is>
          <t>600. GRANJA PRODUCTORA (7,56 kWp - 30 kWh)</t>
        </is>
      </c>
      <c r="B34" s="52" t="inlineStr">
        <is>
          <t>63 d 06 h 52 min</t>
        </is>
      </c>
      <c r="D34" s="52" t="inlineStr">
        <is>
          <t>Pérdida de TC</t>
        </is>
      </c>
      <c r="E34" s="52" t="inlineStr">
        <is>
          <t>Inversor 1</t>
        </is>
      </c>
      <c r="G34" s="52" t="inlineStr">
        <is>
          <t>56000NBB262L0005</t>
        </is>
      </c>
    </row>
    <row r="35" ht="30" customHeight="1">
      <c r="A35" s="51" t="inlineStr">
        <is>
          <t>601 Ramiro Núñez</t>
        </is>
      </c>
      <c r="B35" s="52" t="inlineStr">
        <is>
          <t>46 d 07 h 27 min</t>
        </is>
      </c>
      <c r="D35" s="52" t="inlineStr">
        <is>
          <t>Pérdida de PE</t>
        </is>
      </c>
      <c r="E35" s="52" t="inlineStr">
        <is>
          <t>Inversor 2</t>
        </is>
      </c>
      <c r="G35" s="52" t="inlineStr">
        <is>
          <t>56000NBB262L0047</t>
        </is>
      </c>
    </row>
    <row r="36" ht="30" customHeight="1">
      <c r="A36" s="51" t="inlineStr">
        <is>
          <t>507. ABDERRAMAN MARTÍNEZ (16,94 kWp - 62 kWh)</t>
        </is>
      </c>
      <c r="B36" s="52" t="inlineStr">
        <is>
          <t>13 d 19 h 51 min</t>
        </is>
      </c>
      <c r="D36" s="52" t="inlineStr">
        <is>
          <t>Pérdida de PE</t>
        </is>
      </c>
      <c r="E36" s="52" t="inlineStr">
        <is>
          <t>Inversor 2</t>
        </is>
      </c>
      <c r="G36" s="52" t="inlineStr">
        <is>
          <t>56000NBB25AL0077</t>
        </is>
      </c>
    </row>
    <row r="37" ht="30" customHeight="1">
      <c r="A37" s="51" t="inlineStr">
        <is>
          <t>527. FRANCISCO GARCÍA (13,86 kWp - 51 kWh)</t>
        </is>
      </c>
      <c r="B37" s="52" t="inlineStr">
        <is>
          <t>13 d 15 h 24 min</t>
        </is>
      </c>
      <c r="D37" s="52" t="inlineStr">
        <is>
          <t>Pérdida de PE</t>
        </is>
      </c>
      <c r="E37" s="52" t="inlineStr">
        <is>
          <t>Inversor 1</t>
        </is>
      </c>
      <c r="G37" s="52" t="inlineStr">
        <is>
          <t>5010KNBN25AL0074</t>
        </is>
      </c>
    </row>
  </sheetData>
  <mergeCells count="3">
    <mergeCell ref="A31:H31"/>
    <mergeCell ref="A2:H2"/>
    <mergeCell ref="A1:H1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2026-10-09T02:37:58Z</dcterms:created>
  <dcterms:modified xsi:type="dcterms:W3CDTF">2026-10-09T02:37:58Z</dcterms:modified>
</cp:coreProperties>
</file>