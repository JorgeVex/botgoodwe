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larmas" sheetId="1" state="visible" r:id="rId1"/>
    <sheet name="Resumen ejecutivo" sheetId="2" state="visible" r:id="rId2"/>
  </sheets>
  <definedNames>
    <definedName name="_xlnm.Print_Titles" localSheetId="0">'Reporte de alarmas'!$10:$10</definedName>
    <definedName name="_xlnm.Print_Area" localSheetId="0">'Reporte de alarmas'!$A$1:$J$21</definedName>
    <definedName name="_xlnm.Print_Area" localSheetId="1">'Resumen ejecutivo'!$A$1:$H$47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6">
    <font>
      <name val="Calibri"/>
      <family val="2"/>
      <color theme="1"/>
      <sz val="11"/>
      <scheme val="minor"/>
    </font>
    <font>
      <name val="Calibri"/>
      <b val="1"/>
      <color rgb="00FF7417"/>
      <sz val="20"/>
    </font>
    <font>
      <name val="Calibri"/>
      <b val="1"/>
      <color rgb="0017365D"/>
      <sz val="13"/>
    </font>
    <font>
      <name val="Calibri"/>
      <color rgb="00404040"/>
      <sz val="10"/>
    </font>
    <font>
      <name val="Calibri"/>
      <i val="1"/>
      <color rgb="00595959"/>
      <sz val="10"/>
    </font>
    <font>
      <name val="Calibri"/>
      <b val="1"/>
      <color rgb="0017365D"/>
      <sz val="9"/>
    </font>
    <font>
      <name val="Calibri"/>
      <b val="1"/>
      <color rgb="0017365D"/>
      <sz val="22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C00000"/>
      <sz val="9"/>
    </font>
    <font>
      <name val="Calibri"/>
      <b val="1"/>
      <color rgb="00C0000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7F6000"/>
      <sz val="9"/>
    </font>
    <font>
      <name val="Calibri"/>
      <b val="1"/>
      <color rgb="007F6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7417"/>
      <sz val="10"/>
    </font>
    <font>
      <name val="Calibri"/>
      <b val="1"/>
      <color rgb="007F6000"/>
      <sz val="10"/>
    </font>
    <font>
      <name val="Calibri"/>
      <b val="1"/>
      <color rgb="0017365D"/>
      <sz val="10"/>
    </font>
    <font>
      <name val="Calibri"/>
      <b val="1"/>
      <color rgb="00FF7417"/>
      <sz val="18"/>
    </font>
    <font>
      <name val="Calibri"/>
      <color rgb="00595959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  <font>
      <name val="Calibri"/>
      <b val="1"/>
      <color rgb="0017365D"/>
      <sz val="12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548DD4"/>
      </patternFill>
    </fill>
    <fill>
      <patternFill patternType="solid">
        <fgColor rgb="00FADB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top style="medium">
        <color rgb="00FF7417"/>
      </top>
    </border>
    <border>
      <left style="thin">
        <color rgb="00FFFFFF"/>
      </left>
      <right style="thin">
        <color rgb="00FFFFFF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65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left" vertical="center" wrapText="1"/>
    </xf>
    <xf numFmtId="49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5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49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5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wrapText="1"/>
    </xf>
    <xf numFmtId="49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indent="1"/>
    </xf>
    <xf numFmtId="0" fontId="22" fillId="0" borderId="0" applyAlignment="1" pivotButton="0" quotePrefix="0" xfId="0">
      <alignment indent="1"/>
    </xf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vertical="center" wrapText="1"/>
    </xf>
    <xf numFmtId="0" fontId="16" fillId="7" borderId="3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 wrapText="1"/>
    </xf>
    <xf numFmtId="0" fontId="16" fillId="2" borderId="3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activas por planta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ejecutivo'!B5</f>
            </strRef>
          </tx>
          <spPr>
            <a:solidFill>
              <a:srgbClr val="548DD4"/>
            </a:solidFill>
            <a:ln>
              <a:prstDash val="solid"/>
            </a:ln>
          </spPr>
          <cat>
            <numRef>
              <f>'Resumen ejecutivo'!$A$6:$A$14</f>
            </numRef>
          </cat>
          <val>
            <numRef>
              <f>'Resumen ejecutivo'!$B$6:$B$14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ejecutivo'!E5</f>
            </strRef>
          </tx>
          <spPr>
            <a:solidFill>
              <a:srgbClr val="FF7417"/>
            </a:solidFill>
            <a:ln>
              <a:prstDash val="solid"/>
            </a:ln>
          </spPr>
          <cat>
            <numRef>
              <f>'Resumen ejecutivo'!$D$6:$D$7</f>
            </numRef>
          </cat>
          <val>
            <numRef>
              <f>'Resumen ejecutivo'!$E$6:$E$7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41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larmas" displayName="TablaAlarmas" ref="A10:J21" headerRowCount="1">
  <autoFilter ref="A10:J21"/>
  <tableColumns count="10">
    <tableColumn id="1" name="Hora de alarma"/>
    <tableColumn id="2" name="Nombre de la planta"/>
    <tableColumn id="3" name="SN"/>
    <tableColumn id="4" name="Equipo"/>
    <tableColumn id="5" name="Tipo de alarma"/>
    <tableColumn id="6" name="Nombre de la alarma"/>
    <tableColumn id="7" name="Estado"/>
    <tableColumn id="8" name="Situación"/>
    <tableColumn id="9" name="Duración"/>
    <tableColumn id="10" name="Sugerenci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20" customWidth="1" min="4" max="4"/>
    <col width="28" customWidth="1" min="5" max="5"/>
    <col width="32" customWidth="1" min="6" max="6"/>
    <col width="14" customWidth="1" min="7" max="7"/>
    <col width="15" customWidth="1" min="8" max="8"/>
    <col width="20" customWidth="1" min="9" max="9"/>
    <col width="46" customWidth="1" min="10" max="10"/>
  </cols>
  <sheetData>
    <row r="1" ht="34" customHeight="1">
      <c r="B1" s="1" t="inlineStr">
        <is>
          <t>SUNNY APP  |  REPORTE DIARIO DE ALARMAS</t>
        </is>
      </c>
    </row>
    <row r="2" ht="22" customHeight="1">
      <c r="B2" s="2" t="inlineStr">
        <is>
          <t>Plataforma GoodWe</t>
        </is>
      </c>
    </row>
    <row r="3" ht="18" customHeight="1">
      <c r="B3" s="3" t="inlineStr">
        <is>
          <t>Fecha del reporte: 24/10/2026   |   Generado: 10:50:44   |   Zona horaria: America/Bogota (UTC-05:00)</t>
        </is>
      </c>
    </row>
    <row r="4" ht="18" customHeight="1">
      <c r="B4" s="4" t="inlineStr">
        <is>
          <t>Período de consulta: alarmas activas al momento de la lectura en la plataforma</t>
        </is>
      </c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8" customHeight="1"/>
    <row r="7" ht="20" customHeight="1">
      <c r="A7" s="6" t="inlineStr">
        <is>
          <t>Total de registros</t>
        </is>
      </c>
      <c r="B7" s="7" t="inlineStr">
        <is>
          <t>Alarmas activas</t>
        </is>
      </c>
      <c r="C7" s="8" t="inlineStr">
        <is>
          <t>Críticas activas</t>
        </is>
      </c>
      <c r="D7" s="9" t="n"/>
      <c r="E7" s="10" t="inlineStr">
        <is>
          <t>Resueltas</t>
        </is>
      </c>
      <c r="F7" s="6" t="inlineStr">
        <is>
          <t>Plantas afectadas</t>
        </is>
      </c>
      <c r="G7" s="11" t="n"/>
      <c r="H7" s="12" t="inlineStr">
        <is>
          <t>Mayor duración activa</t>
        </is>
      </c>
      <c r="I7" s="13" t="n"/>
      <c r="J7" s="13" t="n"/>
    </row>
    <row r="8" ht="40" customHeight="1">
      <c r="A8" s="14" t="n">
        <v>11</v>
      </c>
      <c r="B8" s="15" t="n">
        <v>11</v>
      </c>
      <c r="C8" s="16" t="n">
        <v>1</v>
      </c>
      <c r="D8" s="9" t="n"/>
      <c r="E8" s="17" t="n">
        <v>0</v>
      </c>
      <c r="F8" s="14" t="n">
        <v>9</v>
      </c>
      <c r="G8" s="11" t="n"/>
      <c r="H8" s="18" t="inlineStr">
        <is>
          <t>78 d 21 h 05 min  ·  Pérdida de PE</t>
        </is>
      </c>
      <c r="I8" s="13" t="n"/>
      <c r="J8" s="13" t="n"/>
    </row>
    <row r="9" ht="12" customHeight="1"/>
    <row r="10" ht="30" customHeight="1">
      <c r="A10" s="19" t="inlineStr">
        <is>
          <t>Hora de alarma</t>
        </is>
      </c>
      <c r="B10" s="19" t="inlineStr">
        <is>
          <t>Nombre de la planta</t>
        </is>
      </c>
      <c r="C10" s="19" t="inlineStr">
        <is>
          <t>SN</t>
        </is>
      </c>
      <c r="D10" s="19" t="inlineStr">
        <is>
          <t>Equipo</t>
        </is>
      </c>
      <c r="E10" s="19" t="inlineStr">
        <is>
          <t>Tipo de alarma</t>
        </is>
      </c>
      <c r="F10" s="19" t="inlineStr">
        <is>
          <t>Nombre de la alarma</t>
        </is>
      </c>
      <c r="G10" s="19" t="inlineStr">
        <is>
          <t>Estado</t>
        </is>
      </c>
      <c r="H10" s="19" t="inlineStr">
        <is>
          <t>Situación</t>
        </is>
      </c>
      <c r="I10" s="19" t="inlineStr">
        <is>
          <t>Duración</t>
        </is>
      </c>
      <c r="J10" s="19" t="inlineStr">
        <is>
          <t>Sugerencia</t>
        </is>
      </c>
    </row>
    <row r="11" ht="37" customHeight="1">
      <c r="A11" s="20" t="n">
        <v>46319.32236111111</v>
      </c>
      <c r="B11" s="21" t="inlineStr">
        <is>
          <t>527. FRANCISCO GARCÍA (13,86 kWp - 51 kWh)</t>
        </is>
      </c>
      <c r="C11" s="22" t="inlineStr">
        <is>
          <t>5010KNBN25AL0074</t>
        </is>
      </c>
      <c r="D11" s="23" t="inlineStr">
        <is>
          <t>Inversor 1</t>
        </is>
      </c>
      <c r="E11" s="23" t="inlineStr">
        <is>
          <t>Información de condición de operación</t>
        </is>
      </c>
      <c r="F11" s="24" t="inlineStr">
        <is>
          <t>Pérdida de PE</t>
        </is>
      </c>
      <c r="G11" s="25" t="inlineStr">
        <is>
          <t>Ocurriendo</t>
        </is>
      </c>
      <c r="H11" s="26" t="inlineStr">
        <is>
          <t>Nueva</t>
        </is>
      </c>
      <c r="I11" s="23" t="inlineStr">
        <is>
          <t>03 h 04 min</t>
        </is>
      </c>
      <c r="J11" s="21" t="inlineStr">
        <is>
          <t>Revisar el cable de conexión a tierra.</t>
        </is>
      </c>
    </row>
    <row r="12" ht="37" customHeight="1">
      <c r="A12" s="27" t="n">
        <v>46319.24298611111</v>
      </c>
      <c r="B12" s="28" t="inlineStr">
        <is>
          <t>482. ROCIO CUPITRE PIMENTONIS (11,16 kWp - 42 kWh)</t>
        </is>
      </c>
      <c r="C12" s="29" t="inlineStr">
        <is>
          <t>54200DSC251S0107</t>
        </is>
      </c>
      <c r="D12" s="30" t="inlineStr">
        <is>
          <t>Inversor 2</t>
        </is>
      </c>
      <c r="E12" s="30" t="inlineStr">
        <is>
          <t>Información de condición de operación</t>
        </is>
      </c>
      <c r="F12" s="24" t="inlineStr">
        <is>
          <t>Pérdida de TC</t>
        </is>
      </c>
      <c r="G12" s="31" t="inlineStr">
        <is>
          <t>Ocurriendo</t>
        </is>
      </c>
      <c r="H12" s="32" t="inlineStr">
        <is>
          <t>Nueva</t>
        </is>
      </c>
      <c r="I12" s="30" t="inlineStr">
        <is>
          <t>04 h 58 min</t>
        </is>
      </c>
      <c r="J12" s="28" t="inlineStr">
        <is>
          <t>Revisar el cableado del TC (transformador de corriente).</t>
        </is>
      </c>
    </row>
    <row r="13" ht="37" customHeight="1">
      <c r="A13" s="20" t="n">
        <v>46319.24246527778</v>
      </c>
      <c r="B13" s="21" t="inlineStr">
        <is>
          <t>507. ABDERRAMAN MARTÍNEZ (16,94 kWp - 62 kWh)</t>
        </is>
      </c>
      <c r="C13" s="22" t="inlineStr">
        <is>
          <t>56000NBB25AL0077</t>
        </is>
      </c>
      <c r="D13" s="23" t="inlineStr">
        <is>
          <t>Inversor 2</t>
        </is>
      </c>
      <c r="E13" s="23" t="inlineStr">
        <is>
          <t>Información de condición de operación</t>
        </is>
      </c>
      <c r="F13" s="24" t="inlineStr">
        <is>
          <t>Pérdida de TC</t>
        </is>
      </c>
      <c r="G13" s="25" t="inlineStr">
        <is>
          <t>Ocurriendo</t>
        </is>
      </c>
      <c r="H13" s="26" t="inlineStr">
        <is>
          <t>Nueva</t>
        </is>
      </c>
      <c r="I13" s="23" t="inlineStr">
        <is>
          <t>04 h 59 min</t>
        </is>
      </c>
      <c r="J13" s="21" t="inlineStr">
        <is>
          <t>Revisar el cableado del TC (transformador de corriente).</t>
        </is>
      </c>
    </row>
    <row r="14" ht="37" customHeight="1">
      <c r="A14" s="27" t="n">
        <v>46319.24211805555</v>
      </c>
      <c r="B14" s="28" t="inlineStr">
        <is>
          <t>507. ABDERRAMAN MARTÍNEZ (16,94 kWp - 62 kWh)</t>
        </is>
      </c>
      <c r="C14" s="29" t="inlineStr">
        <is>
          <t>56000NBB25AL0079</t>
        </is>
      </c>
      <c r="D14" s="30" t="inlineStr">
        <is>
          <t>Inversor 1</t>
        </is>
      </c>
      <c r="E14" s="30" t="inlineStr">
        <is>
          <t>Información de condición de operación</t>
        </is>
      </c>
      <c r="F14" s="24" t="inlineStr">
        <is>
          <t>Pérdida de TC</t>
        </is>
      </c>
      <c r="G14" s="31" t="inlineStr">
        <is>
          <t>Ocurriendo</t>
        </is>
      </c>
      <c r="H14" s="32" t="inlineStr">
        <is>
          <t>Nueva</t>
        </is>
      </c>
      <c r="I14" s="30" t="inlineStr">
        <is>
          <t>04 h 59 min</t>
        </is>
      </c>
      <c r="J14" s="28" t="inlineStr">
        <is>
          <t>Revisar el cableado del TC (transformador de corriente).</t>
        </is>
      </c>
    </row>
    <row r="15" ht="37" customHeight="1">
      <c r="A15" s="20" t="n">
        <v>46319.24153935185</v>
      </c>
      <c r="B15" s="21" t="inlineStr">
        <is>
          <t>Villa Valentina</t>
        </is>
      </c>
      <c r="C15" s="22" t="inlineStr">
        <is>
          <t>56000NBB262L0036</t>
        </is>
      </c>
      <c r="D15" s="23" t="inlineStr">
        <is>
          <t>Inversor 1</t>
        </is>
      </c>
      <c r="E15" s="23" t="inlineStr">
        <is>
          <t>Información de condición de operación</t>
        </is>
      </c>
      <c r="F15" s="24" t="inlineStr">
        <is>
          <t>Pérdida de TC</t>
        </is>
      </c>
      <c r="G15" s="25" t="inlineStr">
        <is>
          <t>Ocurriendo</t>
        </is>
      </c>
      <c r="H15" s="26" t="inlineStr">
        <is>
          <t>Nueva</t>
        </is>
      </c>
      <c r="I15" s="23" t="inlineStr">
        <is>
          <t>05 h 00 min</t>
        </is>
      </c>
      <c r="J15" s="21" t="inlineStr">
        <is>
          <t>Revisar el cableado del TC (transformador de corriente).</t>
        </is>
      </c>
    </row>
    <row r="16" ht="37" customHeight="1">
      <c r="A16" s="27" t="n">
        <v>46311.46724537037</v>
      </c>
      <c r="B16" s="28" t="inlineStr">
        <is>
          <t>Patricia Ninco Caguan</t>
        </is>
      </c>
      <c r="C16" s="29" t="inlineStr">
        <is>
          <t>56000NBB263L0102</t>
        </is>
      </c>
      <c r="D16" s="30" t="inlineStr">
        <is>
          <t>Inversor 1</t>
        </is>
      </c>
      <c r="E16" s="30" t="inlineStr">
        <is>
          <t>Información de condición de operación</t>
        </is>
      </c>
      <c r="F16" s="24" t="inlineStr">
        <is>
          <t>Pérdida de PE</t>
        </is>
      </c>
      <c r="G16" s="31" t="inlineStr">
        <is>
          <t>Ocurriendo</t>
        </is>
      </c>
      <c r="H16" s="32" t="inlineStr">
        <is>
          <t>Nueva</t>
        </is>
      </c>
      <c r="I16" s="33" t="inlineStr">
        <is>
          <t>7 d 23 h 35 min</t>
        </is>
      </c>
      <c r="J16" s="28" t="inlineStr">
        <is>
          <t>Revisar el cable de conexión a tierra.</t>
        </is>
      </c>
    </row>
    <row r="17" ht="51.5" customHeight="1">
      <c r="A17" s="34" t="n">
        <v>46298.63009259259</v>
      </c>
      <c r="B17" s="35" t="inlineStr">
        <is>
          <t>625. Coorporación universiteria del huila, corhuil</t>
        </is>
      </c>
      <c r="C17" s="36" t="inlineStr">
        <is>
          <t>5017KDTR257L0023</t>
        </is>
      </c>
      <c r="D17" s="37" t="inlineStr">
        <is>
          <t>Inversor 1</t>
        </is>
      </c>
      <c r="E17" s="37" t="inlineStr">
        <is>
          <t>Eventos de protección</t>
        </is>
      </c>
      <c r="F17" s="38" t="inlineStr">
        <is>
          <t>Corte de energía de la red</t>
        </is>
      </c>
      <c r="G17" s="38" t="inlineStr">
        <is>
          <t>Ocurriendo</t>
        </is>
      </c>
      <c r="H17" s="39" t="inlineStr">
        <is>
          <t>Persistente</t>
        </is>
      </c>
      <c r="I17" s="33" t="inlineStr">
        <is>
          <t>20 d 19 h 41 min</t>
        </is>
      </c>
      <c r="J17" s="35" t="inlineStr">
        <is>
          <t>1. La alarma desaparece cuando regresa la energía de la red. 2. Revisar si el cableado AC o el interruptor está desconectado.</t>
        </is>
      </c>
    </row>
    <row r="18" ht="37" customHeight="1">
      <c r="A18" s="27" t="n">
        <v>46290.07267361111</v>
      </c>
      <c r="B18" s="28" t="inlineStr">
        <is>
          <t>507. ABDERRAMAN MARTÍNEZ (16,94 kWp - 62 kWh)</t>
        </is>
      </c>
      <c r="C18" s="29" t="inlineStr">
        <is>
          <t>56000NBB25AL0077</t>
        </is>
      </c>
      <c r="D18" s="30" t="inlineStr">
        <is>
          <t>Inversor 2</t>
        </is>
      </c>
      <c r="E18" s="30" t="inlineStr">
        <is>
          <t>Información de condición de operación</t>
        </is>
      </c>
      <c r="F18" s="24" t="inlineStr">
        <is>
          <t>Pérdida de PE</t>
        </is>
      </c>
      <c r="G18" s="31" t="inlineStr">
        <is>
          <t>Ocurriendo</t>
        </is>
      </c>
      <c r="H18" s="40" t="inlineStr">
        <is>
          <t>Persistente</t>
        </is>
      </c>
      <c r="I18" s="33" t="inlineStr">
        <is>
          <t>29 d 09 h 03 min</t>
        </is>
      </c>
      <c r="J18" s="28" t="inlineStr">
        <is>
          <t>Revisar el cable de conexión a tierra.</t>
        </is>
      </c>
    </row>
    <row r="19" ht="37" customHeight="1">
      <c r="A19" s="20" t="n">
        <v>46257.58930555556</v>
      </c>
      <c r="B19" s="21" t="inlineStr">
        <is>
          <t>601 Ramiro Núñez</t>
        </is>
      </c>
      <c r="C19" s="22" t="inlineStr">
        <is>
          <t>56000NBB262L0047</t>
        </is>
      </c>
      <c r="D19" s="23" t="inlineStr">
        <is>
          <t>Inversor 2</t>
        </is>
      </c>
      <c r="E19" s="23" t="inlineStr">
        <is>
          <t>Información de condición de operación</t>
        </is>
      </c>
      <c r="F19" s="24" t="inlineStr">
        <is>
          <t>Pérdida de PE</t>
        </is>
      </c>
      <c r="G19" s="25" t="inlineStr">
        <is>
          <t>Ocurriendo</t>
        </is>
      </c>
      <c r="H19" s="41" t="inlineStr">
        <is>
          <t>Persistente</t>
        </is>
      </c>
      <c r="I19" s="33" t="inlineStr">
        <is>
          <t>61 d 20 h 39 min</t>
        </is>
      </c>
      <c r="J19" s="21" t="inlineStr">
        <is>
          <t>Revisar el cable de conexión a tierra.</t>
        </is>
      </c>
    </row>
    <row r="20" ht="37" customHeight="1">
      <c r="A20" s="27" t="n">
        <v>46240.61350694444</v>
      </c>
      <c r="B20" s="28" t="inlineStr">
        <is>
          <t>600. GRANJA PRODUCTORA (7,56 kWp - 30 kWh)</t>
        </is>
      </c>
      <c r="C20" s="29" t="inlineStr">
        <is>
          <t>56000NBB262L0005</t>
        </is>
      </c>
      <c r="D20" s="30" t="inlineStr">
        <is>
          <t>Inversor 1</t>
        </is>
      </c>
      <c r="E20" s="30" t="inlineStr">
        <is>
          <t>Información de condición de operación</t>
        </is>
      </c>
      <c r="F20" s="24" t="inlineStr">
        <is>
          <t>Pérdida de TC</t>
        </is>
      </c>
      <c r="G20" s="31" t="inlineStr">
        <is>
          <t>Ocurriendo</t>
        </is>
      </c>
      <c r="H20" s="40" t="inlineStr">
        <is>
          <t>Persistente</t>
        </is>
      </c>
      <c r="I20" s="33" t="inlineStr">
        <is>
          <t>78 d 20 h 05 min</t>
        </is>
      </c>
      <c r="J20" s="28" t="inlineStr">
        <is>
          <t>Revisar el cableado del TC (transformador de corriente).</t>
        </is>
      </c>
    </row>
    <row r="21" ht="37" customHeight="1">
      <c r="A21" s="20" t="n">
        <v>46240.57126157408</v>
      </c>
      <c r="B21" s="21" t="inlineStr">
        <is>
          <t>600 Granja Productora</t>
        </is>
      </c>
      <c r="C21" s="22" t="inlineStr">
        <is>
          <t>56000NBB262L0005</t>
        </is>
      </c>
      <c r="D21" s="23" t="inlineStr">
        <is>
          <t>Inversor 1</t>
        </is>
      </c>
      <c r="E21" s="23" t="inlineStr">
        <is>
          <t>Información de condición de operación</t>
        </is>
      </c>
      <c r="F21" s="24" t="inlineStr">
        <is>
          <t>Pérdida de PE</t>
        </is>
      </c>
      <c r="G21" s="25" t="inlineStr">
        <is>
          <t>Ocurriendo</t>
        </is>
      </c>
      <c r="H21" s="41" t="inlineStr">
        <is>
          <t>Persistente</t>
        </is>
      </c>
      <c r="I21" s="33" t="inlineStr">
        <is>
          <t>78 d 21 h 05 min</t>
        </is>
      </c>
      <c r="J21" s="21" t="inlineStr">
        <is>
          <t>Revisar el cable de conexión a tierra.</t>
        </is>
      </c>
    </row>
  </sheetData>
  <mergeCells count="10">
    <mergeCell ref="B3:J3"/>
    <mergeCell ref="C7:D7"/>
    <mergeCell ref="F7:G7"/>
    <mergeCell ref="H8:J8"/>
    <mergeCell ref="B1:J1"/>
    <mergeCell ref="B4:J4"/>
    <mergeCell ref="H7:J7"/>
    <mergeCell ref="C8:D8"/>
    <mergeCell ref="B2:J2"/>
    <mergeCell ref="F8:G8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width="40" customWidth="1" min="4" max="4"/>
    <col width="14" customWidth="1" min="5" max="5"/>
    <col width="4" customWidth="1" min="6" max="6"/>
    <col width="30" customWidth="1" min="7" max="7"/>
    <col width="14" customWidth="1" min="8" max="8"/>
  </cols>
  <sheetData>
    <row r="1" ht="32" customHeight="1">
      <c r="A1" s="42" t="inlineStr">
        <is>
          <t>SUNNY APP  |  RESUMEN EJECUTIVO DE ALARMAS</t>
        </is>
      </c>
    </row>
    <row r="2">
      <c r="A2" s="43" t="inlineStr">
        <is>
          <t>Plataforma GoodWe  ·  24/10/2026 10:50 (America/Bogota)</t>
        </is>
      </c>
    </row>
    <row r="4">
      <c r="A4" s="44" t="inlineStr">
        <is>
          <t>Alarmas activas por planta (top 10)</t>
        </is>
      </c>
      <c r="D4" s="44" t="inlineStr">
        <is>
          <t>Distribución por tipo de alarma</t>
        </is>
      </c>
      <c r="G4" s="44" t="inlineStr">
        <is>
          <t>Distribución por estado</t>
        </is>
      </c>
    </row>
    <row r="5">
      <c r="A5" s="45" t="inlineStr">
        <is>
          <t>Planta</t>
        </is>
      </c>
      <c r="B5" s="45" t="inlineStr">
        <is>
          <t>Cantidad</t>
        </is>
      </c>
      <c r="D5" s="45" t="inlineStr">
        <is>
          <t>Tipo</t>
        </is>
      </c>
      <c r="E5" s="45" t="inlineStr">
        <is>
          <t>Cantidad</t>
        </is>
      </c>
      <c r="G5" s="45" t="inlineStr">
        <is>
          <t>Estado · situación</t>
        </is>
      </c>
      <c r="H5" s="45" t="inlineStr">
        <is>
          <t>Cantidad</t>
        </is>
      </c>
    </row>
    <row r="6">
      <c r="A6" s="46" t="inlineStr">
        <is>
          <t>507. ABDERRAMAN MARTÍNEZ (16,94 kWp - 62 kWh)</t>
        </is>
      </c>
      <c r="B6" s="47" t="n">
        <v>3</v>
      </c>
      <c r="D6" s="46" t="inlineStr">
        <is>
          <t>Información de condición de operación</t>
        </is>
      </c>
      <c r="E6" s="47" t="n">
        <v>10</v>
      </c>
      <c r="G6" s="46" t="inlineStr">
        <is>
          <t>Ocurriendo · Nueva</t>
        </is>
      </c>
      <c r="H6" s="47" t="n">
        <v>6</v>
      </c>
    </row>
    <row r="7">
      <c r="A7" s="48" t="inlineStr">
        <is>
          <t>527. FRANCISCO GARCÍA (13,86 kWp - 51 kWh)</t>
        </is>
      </c>
      <c r="B7" s="49" t="n">
        <v>1</v>
      </c>
      <c r="D7" s="48" t="inlineStr">
        <is>
          <t>Eventos de protección</t>
        </is>
      </c>
      <c r="E7" s="49" t="n">
        <v>1</v>
      </c>
      <c r="G7" s="48" t="inlineStr">
        <is>
          <t>Ocurriendo · Persistente</t>
        </is>
      </c>
      <c r="H7" s="49" t="n">
        <v>5</v>
      </c>
    </row>
    <row r="8">
      <c r="A8" s="46" t="inlineStr">
        <is>
          <t>482. ROCIO CUPITRE PIMENTONIS (11,16 kWp - 42 kWh)</t>
        </is>
      </c>
      <c r="B8" s="47" t="n">
        <v>1</v>
      </c>
    </row>
    <row r="9">
      <c r="A9" s="48" t="inlineStr">
        <is>
          <t>Villa Valentina</t>
        </is>
      </c>
      <c r="B9" s="49" t="n">
        <v>1</v>
      </c>
    </row>
    <row r="10">
      <c r="A10" s="46" t="inlineStr">
        <is>
          <t>Patricia Ninco Caguan</t>
        </is>
      </c>
      <c r="B10" s="47" t="n">
        <v>1</v>
      </c>
    </row>
    <row r="11">
      <c r="A11" s="48" t="inlineStr">
        <is>
          <t>625. Coorporación universiteria del huila, corhuil</t>
        </is>
      </c>
      <c r="B11" s="49" t="n">
        <v>1</v>
      </c>
    </row>
    <row r="12">
      <c r="A12" s="46" t="inlineStr">
        <is>
          <t>601 Ramiro Núñez</t>
        </is>
      </c>
      <c r="B12" s="47" t="n">
        <v>1</v>
      </c>
    </row>
    <row r="13">
      <c r="A13" s="48" t="inlineStr">
        <is>
          <t>600. GRANJA PRODUCTORA (7,56 kWp - 30 kWh)</t>
        </is>
      </c>
      <c r="B13" s="49" t="n">
        <v>1</v>
      </c>
    </row>
    <row r="14">
      <c r="A14" s="46" t="inlineStr">
        <is>
          <t>600 Granja Productora</t>
        </is>
      </c>
      <c r="B14" s="47" t="n">
        <v>1</v>
      </c>
    </row>
    <row r="33">
      <c r="A33" s="50" t="inlineStr">
        <is>
          <t>Alarmas activas más antiguas (top 5)</t>
        </is>
      </c>
    </row>
    <row r="34">
      <c r="A34" s="45" t="inlineStr">
        <is>
          <t>Planta</t>
        </is>
      </c>
      <c r="B34" s="45" t="inlineStr">
        <is>
          <t>Duración</t>
        </is>
      </c>
      <c r="D34" s="45" t="inlineStr">
        <is>
          <t>Alarma</t>
        </is>
      </c>
      <c r="E34" s="45" t="inlineStr">
        <is>
          <t>Equipo</t>
        </is>
      </c>
      <c r="G34" s="45" t="inlineStr">
        <is>
          <t>SN</t>
        </is>
      </c>
    </row>
    <row r="35" ht="30" customHeight="1">
      <c r="A35" s="51" t="inlineStr">
        <is>
          <t>600 Granja Productora</t>
        </is>
      </c>
      <c r="B35" s="52" t="inlineStr">
        <is>
          <t>78 d 21 h 05 min</t>
        </is>
      </c>
      <c r="D35" s="52" t="inlineStr">
        <is>
          <t>Pérdida de PE</t>
        </is>
      </c>
      <c r="E35" s="52" t="inlineStr">
        <is>
          <t>Inversor 1</t>
        </is>
      </c>
      <c r="G35" s="52" t="inlineStr">
        <is>
          <t>56000NBB262L0005</t>
        </is>
      </c>
    </row>
    <row r="36" ht="30" customHeight="1">
      <c r="A36" s="51" t="inlineStr">
        <is>
          <t>600. GRANJA PRODUCTORA (7,56 kWp - 30 kWh)</t>
        </is>
      </c>
      <c r="B36" s="52" t="inlineStr">
        <is>
          <t>78 d 20 h 05 min</t>
        </is>
      </c>
      <c r="D36" s="52" t="inlineStr">
        <is>
          <t>Pérdida de TC</t>
        </is>
      </c>
      <c r="E36" s="52" t="inlineStr">
        <is>
          <t>Inversor 1</t>
        </is>
      </c>
      <c r="G36" s="52" t="inlineStr">
        <is>
          <t>56000NBB262L0005</t>
        </is>
      </c>
    </row>
    <row r="37" ht="30" customHeight="1">
      <c r="A37" s="51" t="inlineStr">
        <is>
          <t>601 Ramiro Núñez</t>
        </is>
      </c>
      <c r="B37" s="52" t="inlineStr">
        <is>
          <t>61 d 20 h 39 min</t>
        </is>
      </c>
      <c r="D37" s="52" t="inlineStr">
        <is>
          <t>Pérdida de PE</t>
        </is>
      </c>
      <c r="E37" s="52" t="inlineStr">
        <is>
          <t>Inversor 2</t>
        </is>
      </c>
      <c r="G37" s="52" t="inlineStr">
        <is>
          <t>56000NBB262L0047</t>
        </is>
      </c>
    </row>
    <row r="38" ht="30" customHeight="1">
      <c r="A38" s="51" t="inlineStr">
        <is>
          <t>507. ABDERRAMAN MARTÍNEZ (16,94 kWp - 62 kWh)</t>
        </is>
      </c>
      <c r="B38" s="52" t="inlineStr">
        <is>
          <t>29 d 09 h 03 min</t>
        </is>
      </c>
      <c r="D38" s="52" t="inlineStr">
        <is>
          <t>Pérdida de PE</t>
        </is>
      </c>
      <c r="E38" s="52" t="inlineStr">
        <is>
          <t>Inversor 2</t>
        </is>
      </c>
      <c r="G38" s="52" t="inlineStr">
        <is>
          <t>56000NBB25AL0077</t>
        </is>
      </c>
    </row>
    <row r="39" ht="30" customHeight="1">
      <c r="A39" s="51" t="inlineStr">
        <is>
          <t>625. Coorporación universiteria del huila, corhuil</t>
        </is>
      </c>
      <c r="B39" s="52" t="inlineStr">
        <is>
          <t>20 d 19 h 41 min</t>
        </is>
      </c>
      <c r="D39" s="52" t="inlineStr">
        <is>
          <t>Corte de energía de la red</t>
        </is>
      </c>
      <c r="E39" s="52" t="inlineStr">
        <is>
          <t>Inversor 1</t>
        </is>
      </c>
      <c r="G39" s="52" t="inlineStr">
        <is>
          <t>5017KDTR257L0023</t>
        </is>
      </c>
    </row>
    <row r="41">
      <c r="A41" s="50" t="inlineStr">
        <is>
          <t>Cómo leer este resumen</t>
        </is>
      </c>
    </row>
    <row r="42" ht="22" customHeight="1">
      <c r="A42" s="53" t="inlineStr">
        <is>
          <t>•  Es una foto de las alarmas que estaban activas en la plataforma GoodWe en el momento de la lectura.</t>
        </is>
      </c>
    </row>
    <row r="43" ht="22" customHeight="1">
      <c r="A43" s="53" t="inlineStr">
        <is>
          <t>•  Por planta: muestra dónde se concentran las alarmas. Una planta con varias alarmas debe revisarse primero.</t>
        </is>
      </c>
    </row>
    <row r="44" ht="40" customHeight="1">
      <c r="A44" s="53" t="inlineStr">
        <is>
          <t>•  Por tipo: los "Eventos de protección" suelen requerir atención más rápida. La "Información de condición de operación" son avisos del equipo (por ejemplo, pérdida de PE o de TC) que el equipo técnico debe validar en sitio; no confirman por sí solos un daño físico.</t>
        </is>
      </c>
    </row>
    <row r="45" ht="40" customHeight="1">
      <c r="A45" s="53" t="inlineStr">
        <is>
          <t>•  Nueva / Persistente: "Nueva" significa que el sistema la detectó por primera vez hoy; "Persistente", que ya venía de lecturas anteriores. No indica cuándo empezó la alarma: eso lo dice la columna Duración.</t>
        </is>
      </c>
    </row>
    <row r="46" ht="22" customHeight="1">
      <c r="A46" s="53" t="inlineStr">
        <is>
          <t>•  Alarmas más antiguas: llevan más tiempo sin resolverse; son la prioridad de seguimiento.</t>
        </is>
      </c>
    </row>
    <row r="47" ht="22" customHeight="1">
      <c r="A47" s="53" t="inlineStr">
        <is>
          <t>•  Las alarmas resueltas salen automáticamente del reporte y no se muestran aquí.</t>
        </is>
      </c>
    </row>
  </sheetData>
  <mergeCells count="10">
    <mergeCell ref="A45:H45"/>
    <mergeCell ref="A43:H43"/>
    <mergeCell ref="A2:H2"/>
    <mergeCell ref="A42:H42"/>
    <mergeCell ref="A41:H41"/>
    <mergeCell ref="A33:H33"/>
    <mergeCell ref="A44:H44"/>
    <mergeCell ref="A47:H47"/>
    <mergeCell ref="A1:H1"/>
    <mergeCell ref="A46:H46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2026-10-24T15:50:44Z</dcterms:created>
  <dcterms:modified xsi:type="dcterms:W3CDTF">2026-10-24T15:50:44Z</dcterms:modified>
</cp:coreProperties>
</file>